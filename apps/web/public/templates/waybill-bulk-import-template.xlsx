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320" windowHeight="13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<sst xmlns="http://schemas.openxmlformats.org/spreadsheetml/2006/main" count="103" uniqueCount="56">
  <si>
    <t>航代</t>
  </si>
  <si>
    <t>航班信息</t>
  </si>
  <si>
    <t>提单号</t>
  </si>
  <si>
    <t>入仓号</t>
  </si>
  <si>
    <t>收件人</t>
  </si>
  <si>
    <t>资料
数据</t>
  </si>
  <si>
    <t>交货时间</t>
  </si>
  <si>
    <t>截单时间</t>
  </si>
  <si>
    <t>订舱重量</t>
  </si>
  <si>
    <t>方数</t>
  </si>
  <si>
    <t>密度</t>
  </si>
  <si>
    <t>报价</t>
  </si>
  <si>
    <t>入仓数据</t>
  </si>
  <si>
    <t>航司</t>
  </si>
  <si>
    <t>航程</t>
  </si>
  <si>
    <t>飞出时间</t>
  </si>
  <si>
    <t>到达时间</t>
  </si>
  <si>
    <t>通知提取</t>
  </si>
  <si>
    <t>提取时间</t>
  </si>
  <si>
    <t>备注</t>
  </si>
  <si>
    <t>航空费</t>
  </si>
  <si>
    <t>付款日期</t>
  </si>
  <si>
    <t>WZ</t>
  </si>
  <si>
    <t>QR8943/01</t>
  </si>
  <si>
    <t>157-40742074</t>
  </si>
  <si>
    <t>BBV</t>
  </si>
  <si>
    <t>林</t>
  </si>
  <si>
    <r>
      <rPr>
        <sz val="11"/>
        <color rgb="FFFF0000"/>
        <rFont val="宋体"/>
        <charset val="134"/>
        <scheme val="minor"/>
      </rPr>
      <t>原</t>
    </r>
    <r>
      <rPr>
        <sz val="11"/>
        <color theme="1"/>
        <rFont val="宋体"/>
        <charset val="134"/>
        <scheme val="minor"/>
      </rPr>
      <t>QR8939/31MAR</t>
    </r>
  </si>
  <si>
    <t>1:167</t>
  </si>
  <si>
    <t>38.6-0.5=38.1</t>
  </si>
  <si>
    <t>含TC</t>
  </si>
  <si>
    <t>客服说齐4/14</t>
  </si>
  <si>
    <t>4/20 民生30万,4/25 民生30万，5/4 民生30万,5/8 民生30万,5/12 民生30万，5/13 民生180926.20</t>
  </si>
  <si>
    <t>157-40742133</t>
  </si>
  <si>
    <t>QLS</t>
  </si>
  <si>
    <t>QLS齐</t>
  </si>
  <si>
    <t>HW大兴</t>
  </si>
  <si>
    <t>CZ3099/01</t>
  </si>
  <si>
    <t>784-83255362</t>
  </si>
  <si>
    <t>ALL</t>
  </si>
  <si>
    <t>胡</t>
  </si>
  <si>
    <t>CAN-PKX-AMS</t>
  </si>
  <si>
    <t>1:200</t>
  </si>
  <si>
    <t>35含tc</t>
  </si>
  <si>
    <t>ALL显示齐</t>
  </si>
  <si>
    <t>月结，未付</t>
  </si>
  <si>
    <t>784-83255351</t>
  </si>
  <si>
    <t>BV显示齐</t>
  </si>
  <si>
    <t>QR8941/02</t>
  </si>
  <si>
    <t>157-40742170</t>
  </si>
  <si>
    <t>3150/16.84</t>
  </si>
  <si>
    <t>1063/5.99</t>
  </si>
  <si>
    <t>157-40742181</t>
  </si>
  <si>
    <t>1070/5.98</t>
  </si>
  <si>
    <t>157-40742192</t>
  </si>
  <si>
    <t>1017/4.87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</si>
</sst>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7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4"/>
      <color theme="0"/>
      <name val="黑体"/>
      <charset val="134"/>
    </font>
    <font>
      <b/>
      <sz val="10"/>
      <color theme="0"/>
      <name val="黑体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黑体"/>
      <charset val="134"/>
    </font>
    <font>
      <b/>
      <sz val="11.25"/>
      <color rgb="FF000000"/>
      <name val="Verdana"/>
      <charset val="134"/>
    </font>
    <font>
      <sz val="12"/>
      <name val="微软雅黑"/>
      <charset val="134"/>
    </font>
    <font>
      <b/>
      <sz val="11"/>
      <name val="宋体"/>
      <charset val="134"/>
      <scheme val="minor"/>
    </font>
    <font>
      <b/>
      <sz val="11"/>
      <color rgb="FFEF24F2"/>
      <name val="宋体"/>
      <charset val="134"/>
      <scheme val="minor"/>
    </font>
    <font>
      <b/>
      <sz val="10.5"/>
      <color rgb="FFFF0000"/>
      <name val="宋体"/>
      <charset val="134"/>
    </font>
    <font>
      <sz val="11"/>
      <color rgb="FFFF0000"/>
      <name val="宋体"/>
      <charset val="134"/>
      <scheme val="minor"/>
    </font>
    <font>
      <sz val="10.5"/>
      <name val="Verdana"/>
      <charset val="134"/>
    </font>
    <font>
      <b/>
      <sz val="11"/>
      <name val="Microsoft YaHei UI"/>
      <charset val="134"/>
    </font>
    <font>
      <sz val="10.5"/>
      <name val="宋体"/>
      <charset val="134"/>
    </font>
    <font>
      <sz val="10.5"/>
      <color rgb="FF000000"/>
      <name val="宋体"/>
      <charset val="134"/>
    </font>
    <font>
      <b/>
      <sz val="11"/>
      <color rgb="FFFF0000"/>
      <name val="宋体"/>
      <charset val="134"/>
      <scheme val="minor"/>
    </font>
    <font>
      <b/>
      <sz val="10.5"/>
      <color rgb="FF7030A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5" borderId="5" applyNumberFormat="0" applyAlignment="0" applyProtection="0">
      <alignment vertical="center"/>
    </xf>
    <xf numFmtId="0" fontId="27" fillId="6" borderId="6" applyNumberFormat="0" applyAlignment="0" applyProtection="0">
      <alignment vertical="center"/>
    </xf>
    <xf numFmtId="0" fontId="28" fillId="6" borderId="5" applyNumberFormat="0" applyAlignment="0" applyProtection="0">
      <alignment vertical="center"/>
    </xf>
    <xf numFmtId="0" fontId="29" fillId="7" borderId="7" applyNumberFormat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12" fillId="0" borderId="0" xfId="0" applyFont="1" applyFill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14" fillId="0" borderId="0" xfId="0" applyFont="1" applyFill="1" applyAlignment="1">
      <alignment horizontal="center" vertical="center" wrapText="1"/>
    </xf>
    <xf numFmtId="0" fontId="15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49" fontId="8" fillId="0" borderId="0" xfId="0" applyNumberFormat="1" applyFont="1" applyFill="1" applyAlignment="1">
      <alignment horizontal="center" vertical="center" wrapText="1"/>
    </xf>
    <xf numFmtId="0" fontId="16" fillId="0" borderId="0" xfId="0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3" fillId="0" borderId="0" xfId="0" applyFont="1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"/>
  <sheetViews>
    <sheetView tabSelected="1" workbookViewId="0">
      <selection activeCell="Z1" sqref="A1:Z1"/>
    </sheetView>
  </sheetViews>
  <sheetFormatPr defaultColWidth="9" defaultRowHeight="13.5" outlineLevelRow="7"/>
  <cols>
    <col min="2" max="2" width="18.25" customWidth="1"/>
    <col min="3" max="3" width="26.25" customWidth="1"/>
    <col min="5" max="5" width="9.125" customWidth="1"/>
  </cols>
  <sheetData>
    <row r="1" ht="24" spans="1:2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6"/>
      <c r="N1" s="7" t="s">
        <v>12</v>
      </c>
      <c r="O1" s="7"/>
      <c r="P1" s="8"/>
      <c r="Q1" s="7" t="s">
        <v>13</v>
      </c>
      <c r="R1" s="7" t="s">
        <v>14</v>
      </c>
      <c r="S1" s="9" t="s">
        <v>15</v>
      </c>
      <c r="T1" s="9" t="s">
        <v>16</v>
      </c>
      <c r="U1" s="9" t="s">
        <v>17</v>
      </c>
      <c r="V1" s="9" t="s">
        <v>18</v>
      </c>
      <c r="W1" s="2"/>
      <c r="X1" s="10" t="s">
        <v>19</v>
      </c>
      <c r="Y1" s="10" t="s">
        <v>20</v>
      </c>
      <c r="Z1" s="10" t="s">
        <v>21</v>
      </c>
    </row>
    <row r="2" ht="25.5" spans="1:26">
      <c r="A2" s="10" t="s">
        <v>22</v>
      </c>
      <c r="B2" s="11" t="s">
        <v>23</v>
      </c>
      <c r="C2" s="12" t="s">
        <v>24</v>
      </c>
      <c r="D2" s="13"/>
      <c r="E2" s="14" t="s">
        <v>25</v>
      </c>
      <c r="F2" s="15" t="s">
        <v>26</v>
      </c>
      <c r="G2" s="16"/>
      <c r="H2" s="17" t="s">
        <v>27</v>
      </c>
      <c r="I2" s="18">
        <v>1000</v>
      </c>
      <c r="J2" s="18">
        <v>6</v>
      </c>
      <c r="K2" s="32" t="s">
        <v>28</v>
      </c>
      <c r="L2" s="20" t="s">
        <v>29</v>
      </c>
      <c r="M2" s="21" t="s">
        <v>30</v>
      </c>
      <c r="N2" s="10">
        <v>58</v>
      </c>
      <c r="O2" s="10">
        <v>893</v>
      </c>
      <c r="P2" s="22">
        <v>5.12</v>
      </c>
      <c r="Q2" s="10"/>
      <c r="R2" s="10"/>
      <c r="S2" s="23"/>
      <c r="T2" s="23"/>
      <c r="U2" s="23"/>
      <c r="V2" s="24" t="s">
        <v>31</v>
      </c>
      <c r="W2" s="14" t="s">
        <v>25</v>
      </c>
      <c r="X2" s="23"/>
      <c r="Y2" s="10">
        <f>893*37.6+22+88</f>
        <v>33686.8</v>
      </c>
      <c r="Z2" s="23" t="s">
        <v>32</v>
      </c>
    </row>
    <row r="3" ht="25.5" spans="1:26">
      <c r="A3" s="10" t="s">
        <v>22</v>
      </c>
      <c r="B3" s="11" t="s">
        <v>23</v>
      </c>
      <c r="C3" s="12" t="s">
        <v>33</v>
      </c>
      <c r="D3" s="13"/>
      <c r="E3" s="25" t="s">
        <v>34</v>
      </c>
      <c r="F3" s="15" t="s">
        <v>26</v>
      </c>
      <c r="G3" s="16"/>
      <c r="H3" s="17" t="s">
        <v>27</v>
      </c>
      <c r="I3" s="18">
        <v>1000</v>
      </c>
      <c r="J3" s="18">
        <v>6</v>
      </c>
      <c r="K3" s="32" t="s">
        <v>28</v>
      </c>
      <c r="L3" s="20" t="s">
        <v>29</v>
      </c>
      <c r="M3" s="21" t="s">
        <v>30</v>
      </c>
      <c r="N3" s="10">
        <v>78</v>
      </c>
      <c r="O3" s="10">
        <v>1066</v>
      </c>
      <c r="P3" s="22">
        <v>6.24</v>
      </c>
      <c r="Q3" s="10"/>
      <c r="R3" s="10"/>
      <c r="S3" s="23"/>
      <c r="T3" s="23"/>
      <c r="U3" s="23"/>
      <c r="V3" s="24" t="s">
        <v>35</v>
      </c>
      <c r="W3" s="25" t="s">
        <v>34</v>
      </c>
      <c r="X3" s="23"/>
      <c r="Y3" s="10">
        <f>1066*37.6+22+88</f>
        <v>40191.6</v>
      </c>
      <c r="Z3" s="23" t="s">
        <v>32</v>
      </c>
    </row>
    <row r="4" ht="17.25" spans="1:26">
      <c r="A4" s="10" t="s">
        <v>36</v>
      </c>
      <c r="B4" s="11" t="s">
        <v>37</v>
      </c>
      <c r="C4" s="12" t="s">
        <v>38</v>
      </c>
      <c r="D4" s="26"/>
      <c r="E4" s="27" t="s">
        <v>39</v>
      </c>
      <c r="F4" s="28" t="s">
        <v>40</v>
      </c>
      <c r="G4" s="16"/>
      <c r="H4" s="23" t="s">
        <v>41</v>
      </c>
      <c r="I4" s="18">
        <v>1000</v>
      </c>
      <c r="J4" s="18">
        <v>5</v>
      </c>
      <c r="K4" s="32" t="s">
        <v>42</v>
      </c>
      <c r="L4" s="20" t="s">
        <v>43</v>
      </c>
      <c r="M4" s="21" t="s">
        <v>30</v>
      </c>
      <c r="N4" s="10">
        <v>71</v>
      </c>
      <c r="O4" s="10">
        <v>1040</v>
      </c>
      <c r="P4" s="22">
        <v>4.91</v>
      </c>
      <c r="Q4" s="10"/>
      <c r="R4" s="10"/>
      <c r="S4" s="23"/>
      <c r="T4" s="23"/>
      <c r="U4" s="23"/>
      <c r="V4" s="23" t="s">
        <v>44</v>
      </c>
      <c r="W4" s="27" t="s">
        <v>39</v>
      </c>
      <c r="X4" s="23"/>
      <c r="Y4" s="10">
        <f>1040*34.5+110</f>
        <v>35990</v>
      </c>
      <c r="Z4" s="23" t="s">
        <v>45</v>
      </c>
    </row>
    <row r="5" ht="17.25" spans="1:26">
      <c r="A5" s="10" t="s">
        <v>36</v>
      </c>
      <c r="B5" s="11" t="s">
        <v>37</v>
      </c>
      <c r="C5" s="12" t="s">
        <v>46</v>
      </c>
      <c r="D5" s="13"/>
      <c r="E5" s="14" t="s">
        <v>25</v>
      </c>
      <c r="F5" s="28" t="s">
        <v>40</v>
      </c>
      <c r="G5" s="16"/>
      <c r="H5" s="23" t="s">
        <v>41</v>
      </c>
      <c r="I5" s="18">
        <v>1000</v>
      </c>
      <c r="J5" s="18">
        <v>5</v>
      </c>
      <c r="K5" s="32" t="s">
        <v>42</v>
      </c>
      <c r="L5" s="20" t="s">
        <v>43</v>
      </c>
      <c r="M5" s="21" t="s">
        <v>30</v>
      </c>
      <c r="N5" s="10">
        <v>66</v>
      </c>
      <c r="O5" s="10">
        <v>1055</v>
      </c>
      <c r="P5" s="22">
        <v>4.92</v>
      </c>
      <c r="Q5" s="10"/>
      <c r="R5" s="10"/>
      <c r="S5" s="23"/>
      <c r="T5" s="23"/>
      <c r="U5" s="23"/>
      <c r="V5" s="23" t="s">
        <v>47</v>
      </c>
      <c r="W5" s="14" t="s">
        <v>25</v>
      </c>
      <c r="X5" s="23"/>
      <c r="Y5" s="10">
        <f>1055*34.5+110</f>
        <v>36507.5</v>
      </c>
      <c r="Z5" s="23" t="s">
        <v>45</v>
      </c>
    </row>
    <row r="6" ht="25.5" spans="1:26">
      <c r="A6" s="10" t="s">
        <v>22</v>
      </c>
      <c r="B6" s="11" t="s">
        <v>48</v>
      </c>
      <c r="C6" s="12" t="s">
        <v>49</v>
      </c>
      <c r="D6" s="26"/>
      <c r="E6" s="29" t="s">
        <v>25</v>
      </c>
      <c r="F6" s="15" t="s">
        <v>26</v>
      </c>
      <c r="G6" s="30" t="s">
        <v>50</v>
      </c>
      <c r="H6" s="23" t="s">
        <v>51</v>
      </c>
      <c r="I6" s="31">
        <v>2750</v>
      </c>
      <c r="J6" s="31">
        <v>16.5</v>
      </c>
      <c r="K6" s="32" t="s">
        <v>28</v>
      </c>
      <c r="L6" s="20" t="s">
        <v>29</v>
      </c>
      <c r="M6" s="21" t="s">
        <v>30</v>
      </c>
      <c r="N6" s="10">
        <v>71</v>
      </c>
      <c r="O6" s="10">
        <v>1066</v>
      </c>
      <c r="P6" s="22">
        <v>6.12</v>
      </c>
      <c r="Q6" s="10"/>
      <c r="R6" s="10"/>
      <c r="S6" s="23"/>
      <c r="T6" s="23"/>
      <c r="U6" s="23"/>
      <c r="V6" s="23" t="s">
        <v>47</v>
      </c>
      <c r="W6" s="29" t="s">
        <v>25</v>
      </c>
      <c r="X6" s="23"/>
      <c r="Y6" s="10">
        <f>1066*37.6+22+88</f>
        <v>40191.6</v>
      </c>
      <c r="Z6" s="23" t="s">
        <v>32</v>
      </c>
    </row>
    <row r="7" ht="25.5" spans="1:26">
      <c r="A7" s="10" t="s">
        <v>22</v>
      </c>
      <c r="B7" s="11" t="s">
        <v>48</v>
      </c>
      <c r="C7" s="12" t="s">
        <v>52</v>
      </c>
      <c r="D7" s="26"/>
      <c r="E7" s="29"/>
      <c r="F7" s="15" t="s">
        <v>26</v>
      </c>
      <c r="G7" s="30"/>
      <c r="H7" s="23" t="s">
        <v>53</v>
      </c>
      <c r="I7" s="31"/>
      <c r="J7" s="31"/>
      <c r="K7" s="32" t="s">
        <v>28</v>
      </c>
      <c r="L7" s="20" t="s">
        <v>29</v>
      </c>
      <c r="M7" s="21" t="s">
        <v>30</v>
      </c>
      <c r="N7" s="10">
        <v>70</v>
      </c>
      <c r="O7" s="10">
        <v>1079</v>
      </c>
      <c r="P7" s="22">
        <v>6.04</v>
      </c>
      <c r="Q7" s="10"/>
      <c r="R7" s="10"/>
      <c r="S7" s="23"/>
      <c r="T7" s="23"/>
      <c r="U7" s="23"/>
      <c r="V7" s="23" t="s">
        <v>47</v>
      </c>
      <c r="W7" s="29"/>
      <c r="X7" s="23"/>
      <c r="Y7" s="10">
        <f>1079*37.6+22+88</f>
        <v>40680.4</v>
      </c>
      <c r="Z7" s="23" t="s">
        <v>32</v>
      </c>
    </row>
    <row r="8" ht="25.5" spans="1:26">
      <c r="A8" s="10" t="s">
        <v>22</v>
      </c>
      <c r="B8" s="11" t="s">
        <v>48</v>
      </c>
      <c r="C8" s="12" t="s">
        <v>54</v>
      </c>
      <c r="D8" s="26"/>
      <c r="E8" s="29"/>
      <c r="F8" s="28" t="s">
        <v>40</v>
      </c>
      <c r="G8" s="30"/>
      <c r="H8" s="23" t="s">
        <v>55</v>
      </c>
      <c r="I8" s="31"/>
      <c r="J8" s="31"/>
      <c r="K8" s="32" t="s">
        <v>28</v>
      </c>
      <c r="L8" s="20" t="s">
        <v>29</v>
      </c>
      <c r="M8" s="21" t="s">
        <v>30</v>
      </c>
      <c r="N8" s="10">
        <v>67</v>
      </c>
      <c r="O8" s="10">
        <v>1021</v>
      </c>
      <c r="P8" s="22">
        <v>4.66</v>
      </c>
      <c r="Q8" s="10"/>
      <c r="R8" s="10"/>
      <c r="S8" s="23"/>
      <c r="T8" s="23"/>
      <c r="U8" s="23"/>
      <c r="V8" s="23" t="s">
        <v>47</v>
      </c>
      <c r="W8" s="29"/>
      <c r="X8" s="23"/>
      <c r="Y8" s="10">
        <f>1021*37.6+22+88</f>
        <v>38499.6</v>
      </c>
      <c r="Z8" s="23" t="s">
        <v>32</v>
      </c>
    </row>
  </sheetData>
  <mergeCells count="6">
    <mergeCell ref="N1:P1"/>
    <mergeCell ref="E6:E8"/>
    <mergeCell ref="G6:G8"/>
    <mergeCell ref="I6:I8"/>
    <mergeCell ref="J6:J8"/>
    <mergeCell ref="W6:W8"/>
  </mergeCells>
  <conditionalFormatting sqref="A1:P1">
    <cfRule type="duplicateValues" dxfId="0" priority="3"/>
  </conditionalFormatting>
  <conditionalFormatting sqref="W1">
    <cfRule type="duplicateValues" dxfId="0" priority="1"/>
  </conditionalFormatting>
  <conditionalFormatting sqref="U1:V1 X1:Z1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宇宙无敌大魔王</cp:lastModifiedBy>
  <dcterms:created xsi:type="dcterms:W3CDTF">2026-05-25T08:22:00Z</dcterms:created>
  <dcterms:modified xsi:type="dcterms:W3CDTF">2026-05-25T10:31:49Z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43220C138F074B5E8C8191A61C879ADA_13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