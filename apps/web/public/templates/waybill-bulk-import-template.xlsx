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3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7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黑体"/>
      <charset val="134"/>
      <b val="1"/>
      <color theme="0"/>
      <sz val="14"/>
    </font>
    <font>
      <name val="黑体"/>
      <charset val="134"/>
      <b val="1"/>
      <color theme="0"/>
      <sz val="10"/>
    </font>
    <font>
      <name val="宋体"/>
      <charset val="134"/>
      <b val="1"/>
      <color theme="0"/>
      <sz val="16"/>
      <scheme val="minor"/>
    </font>
    <font>
      <name val="黑体"/>
      <charset val="134"/>
      <b val="1"/>
      <color theme="0"/>
      <sz val="11"/>
    </font>
    <font>
      <name val="Verdana"/>
      <charset val="134"/>
      <b val="1"/>
      <color rgb="FF000000"/>
      <sz val="11.25"/>
    </font>
    <font>
      <name val="微软雅黑"/>
      <charset val="134"/>
      <sz val="12"/>
    </font>
    <font>
      <name val="宋体"/>
      <charset val="134"/>
      <b val="1"/>
      <sz val="11"/>
      <scheme val="minor"/>
    </font>
    <font>
      <name val="宋体"/>
      <charset val="134"/>
      <b val="1"/>
      <color rgb="FFEF24F2"/>
      <sz val="11"/>
      <scheme val="minor"/>
    </font>
    <font>
      <name val="宋体"/>
      <charset val="134"/>
      <b val="1"/>
      <color rgb="FFFF0000"/>
      <sz val="10.5"/>
    </font>
    <font>
      <name val="宋体"/>
      <charset val="134"/>
      <color rgb="FFFF0000"/>
      <sz val="11"/>
      <scheme val="minor"/>
    </font>
    <font>
      <name val="Verdana"/>
      <charset val="134"/>
      <sz val="10.5"/>
    </font>
    <font>
      <name val="Microsoft YaHei UI"/>
      <charset val="134"/>
      <b val="1"/>
      <sz val="11"/>
    </font>
    <font>
      <name val="宋体"/>
      <charset val="134"/>
      <sz val="10.5"/>
    </font>
    <font>
      <name val="宋体"/>
      <charset val="134"/>
      <color rgb="FF000000"/>
      <sz val="10.5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rgb="FF7030A0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0" fillId="4" borderId="2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3" applyAlignment="1">
      <alignment vertical="center"/>
    </xf>
    <xf numFmtId="0" fontId="24" fillId="0" borderId="3" applyAlignment="1">
      <alignment vertical="center"/>
    </xf>
    <xf numFmtId="0" fontId="25" fillId="0" borderId="4" applyAlignment="1">
      <alignment vertical="center"/>
    </xf>
    <xf numFmtId="0" fontId="25" fillId="0" borderId="0" applyAlignment="1">
      <alignment vertical="center"/>
    </xf>
    <xf numFmtId="0" fontId="26" fillId="5" borderId="5" applyAlignment="1">
      <alignment vertical="center"/>
    </xf>
    <xf numFmtId="0" fontId="27" fillId="6" borderId="6" applyAlignment="1">
      <alignment vertical="center"/>
    </xf>
    <xf numFmtId="0" fontId="28" fillId="6" borderId="5" applyAlignment="1">
      <alignment vertical="center"/>
    </xf>
    <xf numFmtId="0" fontId="29" fillId="7" borderId="7" applyAlignment="1">
      <alignment vertical="center"/>
    </xf>
    <xf numFmtId="0" fontId="30" fillId="0" borderId="8" applyAlignment="1">
      <alignment vertical="center"/>
    </xf>
    <xf numFmtId="0" fontId="31" fillId="0" borderId="9" applyAlignment="1">
      <alignment vertical="center"/>
    </xf>
    <xf numFmtId="0" fontId="32" fillId="8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6" fillId="13" borderId="0" applyAlignment="1">
      <alignment vertical="center"/>
    </xf>
    <xf numFmtId="0" fontId="35" fillId="14" borderId="0" applyAlignment="1">
      <alignment vertical="center"/>
    </xf>
    <xf numFmtId="0" fontId="35" fillId="15" borderId="0" applyAlignment="1">
      <alignment vertical="center"/>
    </xf>
    <xf numFmtId="0" fontId="36" fillId="16" borderId="0" applyAlignment="1">
      <alignment vertical="center"/>
    </xf>
    <xf numFmtId="0" fontId="36" fillId="17" borderId="0" applyAlignment="1">
      <alignment vertical="center"/>
    </xf>
    <xf numFmtId="0" fontId="35" fillId="18" borderId="0" applyAlignment="1">
      <alignment vertical="center"/>
    </xf>
    <xf numFmtId="0" fontId="35" fillId="19" borderId="0" applyAlignment="1">
      <alignment vertical="center"/>
    </xf>
    <xf numFmtId="0" fontId="36" fillId="20" borderId="0" applyAlignment="1">
      <alignment vertical="center"/>
    </xf>
    <xf numFmtId="0" fontId="36" fillId="21" borderId="0" applyAlignment="1">
      <alignment vertical="center"/>
    </xf>
    <xf numFmtId="0" fontId="35" fillId="22" borderId="0" applyAlignment="1">
      <alignment vertical="center"/>
    </xf>
    <xf numFmtId="0" fontId="35" fillId="23" borderId="0" applyAlignment="1">
      <alignment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5" fillId="34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1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tabSelected="1" workbookViewId="0">
      <selection activeCell="Z1" sqref="A1:Z1"/>
    </sheetView>
  </sheetViews>
  <sheetFormatPr baseColWidth="8" defaultColWidth="9" defaultRowHeight="13.5" outlineLevelRow="7"/>
  <cols>
    <col width="18.25" customWidth="1" style="33" min="2" max="2"/>
    <col width="26.25" customWidth="1" style="33" min="3" max="3"/>
    <col width="9.125" customWidth="1" style="33" min="5" max="5"/>
    <col width="13" customWidth="1" style="33" min="26" max="26"/>
    <col width="18" customWidth="1" style="33" min="27" max="27"/>
  </cols>
  <sheetData>
    <row r="1" ht="24" customHeight="1" s="33">
      <c r="A1" s="1" t="inlineStr">
        <is>
          <t>航代</t>
        </is>
      </c>
      <c r="B1" s="2" t="inlineStr">
        <is>
          <t>航班信息</t>
        </is>
      </c>
      <c r="C1" s="2" t="inlineStr">
        <is>
          <t>提单号</t>
        </is>
      </c>
      <c r="D1" s="2" t="inlineStr">
        <is>
          <t>入仓号</t>
        </is>
      </c>
      <c r="E1" s="2" t="inlineStr">
        <is>
          <t>收件人</t>
        </is>
      </c>
      <c r="F1" s="3" t="inlineStr">
        <is>
          <t>资料
数据</t>
        </is>
      </c>
      <c r="G1" s="2" t="inlineStr">
        <is>
          <t>交货时间</t>
        </is>
      </c>
      <c r="H1" s="4" t="inlineStr">
        <is>
          <t>截单时间</t>
        </is>
      </c>
      <c r="I1" s="4" t="inlineStr">
        <is>
          <t>订舱重量</t>
        </is>
      </c>
      <c r="J1" s="4" t="inlineStr">
        <is>
          <t>方数</t>
        </is>
      </c>
      <c r="K1" s="5" t="inlineStr">
        <is>
          <t>密度</t>
        </is>
      </c>
      <c r="L1" s="5" t="inlineStr">
        <is>
          <t>报价</t>
        </is>
      </c>
      <c r="M1" s="6" t="n"/>
      <c r="N1" s="7" t="inlineStr">
        <is>
          <t>入仓数据</t>
        </is>
      </c>
      <c r="Q1" s="7" t="inlineStr">
        <is>
          <t>航司</t>
        </is>
      </c>
      <c r="R1" s="7" t="inlineStr">
        <is>
          <t>航程</t>
        </is>
      </c>
      <c r="S1" s="9" t="inlineStr">
        <is>
          <t>飞出时间</t>
        </is>
      </c>
      <c r="T1" s="9" t="inlineStr">
        <is>
          <t>到达时间</t>
        </is>
      </c>
      <c r="U1" s="9" t="inlineStr">
        <is>
          <t>通知提取</t>
        </is>
      </c>
      <c r="V1" s="9" t="inlineStr">
        <is>
          <t>提取时间</t>
        </is>
      </c>
      <c r="W1" s="2" t="n"/>
      <c r="X1" s="10" t="inlineStr">
        <is>
          <t>备注</t>
        </is>
      </c>
      <c r="Y1" s="10" t="inlineStr">
        <is>
          <t>航空费</t>
        </is>
      </c>
      <c r="Z1" s="10" t="inlineStr">
        <is>
          <t>付款日期</t>
        </is>
      </c>
      <c r="AA1" s="10" t="inlineStr">
        <is>
          <t>内部备注</t>
        </is>
      </c>
    </row>
    <row r="2" ht="25.5" customHeight="1" s="33">
      <c r="A2" s="10" t="inlineStr">
        <is>
          <t>WZ</t>
        </is>
      </c>
      <c r="B2" s="11" t="inlineStr">
        <is>
          <t>QR8943/01</t>
        </is>
      </c>
      <c r="C2" s="12" t="inlineStr">
        <is>
          <t>157-40742074</t>
        </is>
      </c>
      <c r="D2" s="13" t="n"/>
      <c r="E2" s="14" t="inlineStr">
        <is>
          <t>BBV</t>
        </is>
      </c>
      <c r="F2" s="15" t="inlineStr">
        <is>
          <t>林</t>
        </is>
      </c>
      <c r="G2" s="16" t="n"/>
      <c r="H2" s="17" t="inlineStr">
        <is>
          <t>原QR8939/31MAR</t>
        </is>
      </c>
      <c r="I2" s="18" t="n">
        <v>1000</v>
      </c>
      <c r="J2" s="18" t="n">
        <v>6</v>
      </c>
      <c r="K2" s="32" t="inlineStr">
        <is>
          <t>1:167</t>
        </is>
      </c>
      <c r="L2" s="20" t="inlineStr">
        <is>
          <t>38.6-0.5=38.1</t>
        </is>
      </c>
      <c r="M2" s="21" t="inlineStr">
        <is>
          <t>含TC</t>
        </is>
      </c>
      <c r="N2" s="10" t="n">
        <v>58</v>
      </c>
      <c r="O2" s="10" t="n">
        <v>893</v>
      </c>
      <c r="P2" s="34" t="n">
        <v>5.12</v>
      </c>
      <c r="Q2" s="10" t="n"/>
      <c r="R2" s="10" t="n"/>
      <c r="S2" s="23" t="n"/>
      <c r="T2" s="23" t="n"/>
      <c r="U2" s="23" t="n"/>
      <c r="V2" s="24" t="inlineStr">
        <is>
          <t>客服说齐4/14</t>
        </is>
      </c>
      <c r="W2" s="14" t="inlineStr">
        <is>
          <t>BBV</t>
        </is>
      </c>
      <c r="X2" s="23" t="n"/>
      <c r="Y2" s="10">
        <f>893*37.6+22+88</f>
        <v/>
      </c>
      <c r="Z2" s="23" t="inlineStr">
        <is>
          <t>4/20 民生30万,4/25 民生30万，5/4 民生30万,5/8 民生30万,5/12 民生30万，5/13 民生180926.20</t>
        </is>
      </c>
      <c r="AA2" s="23" t="n"/>
    </row>
    <row r="3" ht="25.5" customHeight="1" s="33">
      <c r="A3" s="10" t="inlineStr">
        <is>
          <t>WZ</t>
        </is>
      </c>
      <c r="B3" s="11" t="inlineStr">
        <is>
          <t>QR8943/01</t>
        </is>
      </c>
      <c r="C3" s="12" t="inlineStr">
        <is>
          <t>157-40742133</t>
        </is>
      </c>
      <c r="D3" s="13" t="n"/>
      <c r="E3" s="25" t="inlineStr">
        <is>
          <t>QLS</t>
        </is>
      </c>
      <c r="F3" s="15" t="inlineStr">
        <is>
          <t>林</t>
        </is>
      </c>
      <c r="G3" s="16" t="n"/>
      <c r="H3" s="17" t="inlineStr">
        <is>
          <t>原QR8939/31MAR</t>
        </is>
      </c>
      <c r="I3" s="18" t="n">
        <v>1000</v>
      </c>
      <c r="J3" s="18" t="n">
        <v>6</v>
      </c>
      <c r="K3" s="32" t="inlineStr">
        <is>
          <t>1:167</t>
        </is>
      </c>
      <c r="L3" s="20" t="inlineStr">
        <is>
          <t>38.6-0.5=38.1</t>
        </is>
      </c>
      <c r="M3" s="21" t="inlineStr">
        <is>
          <t>含TC</t>
        </is>
      </c>
      <c r="N3" s="10" t="n">
        <v>78</v>
      </c>
      <c r="O3" s="10" t="n">
        <v>1066</v>
      </c>
      <c r="P3" s="34" t="n">
        <v>6.24</v>
      </c>
      <c r="Q3" s="10" t="n"/>
      <c r="R3" s="10" t="n"/>
      <c r="S3" s="23" t="n"/>
      <c r="T3" s="23" t="n"/>
      <c r="U3" s="23" t="n"/>
      <c r="V3" s="24" t="inlineStr">
        <is>
          <t>QLS齐</t>
        </is>
      </c>
      <c r="W3" s="25" t="inlineStr">
        <is>
          <t>QLS</t>
        </is>
      </c>
      <c r="X3" s="23" t="n"/>
      <c r="Y3" s="10">
        <f>1066*37.6+22+88</f>
        <v/>
      </c>
      <c r="Z3" s="23" t="inlineStr">
        <is>
          <t>4/20 民生30万,4/25 民生30万，5/4 民生30万,5/8 民生30万,5/12 民生30万，5/13 民生180926.20</t>
        </is>
      </c>
      <c r="AA3" s="23" t="n"/>
    </row>
    <row r="4" ht="17.25" customHeight="1" s="33">
      <c r="A4" s="10" t="inlineStr">
        <is>
          <t>HW大兴</t>
        </is>
      </c>
      <c r="B4" s="11" t="inlineStr">
        <is>
          <t>CZ3099/01</t>
        </is>
      </c>
      <c r="C4" s="12" t="inlineStr">
        <is>
          <t>784-83255362</t>
        </is>
      </c>
      <c r="D4" s="26" t="n"/>
      <c r="E4" s="27" t="inlineStr">
        <is>
          <t>ALL</t>
        </is>
      </c>
      <c r="F4" s="28" t="inlineStr">
        <is>
          <t>胡</t>
        </is>
      </c>
      <c r="G4" s="16" t="n"/>
      <c r="H4" s="23" t="inlineStr">
        <is>
          <t>CAN-PKX-AMS</t>
        </is>
      </c>
      <c r="I4" s="18" t="n">
        <v>1000</v>
      </c>
      <c r="J4" s="18" t="n">
        <v>5</v>
      </c>
      <c r="K4" s="32" t="inlineStr">
        <is>
          <t>1:200</t>
        </is>
      </c>
      <c r="L4" s="20" t="inlineStr">
        <is>
          <t>35含tc</t>
        </is>
      </c>
      <c r="M4" s="21" t="inlineStr">
        <is>
          <t>含TC</t>
        </is>
      </c>
      <c r="N4" s="10" t="n">
        <v>71</v>
      </c>
      <c r="O4" s="10" t="n">
        <v>1040</v>
      </c>
      <c r="P4" s="34" t="n">
        <v>4.91</v>
      </c>
      <c r="Q4" s="10" t="n"/>
      <c r="R4" s="10" t="n"/>
      <c r="S4" s="23" t="n"/>
      <c r="T4" s="23" t="n"/>
      <c r="U4" s="23" t="n"/>
      <c r="V4" s="23" t="inlineStr">
        <is>
          <t>ALL显示齐</t>
        </is>
      </c>
      <c r="W4" s="27" t="inlineStr">
        <is>
          <t>ALL</t>
        </is>
      </c>
      <c r="X4" s="23" t="n"/>
      <c r="Y4" s="10">
        <f>1040*34.5+110</f>
        <v/>
      </c>
      <c r="Z4" s="23" t="inlineStr">
        <is>
          <t>月结，未付</t>
        </is>
      </c>
      <c r="AA4" s="23" t="n"/>
    </row>
    <row r="5" ht="17.25" customHeight="1" s="33">
      <c r="A5" s="10" t="inlineStr">
        <is>
          <t>HW大兴</t>
        </is>
      </c>
      <c r="B5" s="11" t="inlineStr">
        <is>
          <t>CZ3099/01</t>
        </is>
      </c>
      <c r="C5" s="12" t="inlineStr">
        <is>
          <t>784-83255351</t>
        </is>
      </c>
      <c r="D5" s="13" t="n"/>
      <c r="E5" s="14" t="inlineStr">
        <is>
          <t>BBV</t>
        </is>
      </c>
      <c r="F5" s="28" t="inlineStr">
        <is>
          <t>胡</t>
        </is>
      </c>
      <c r="G5" s="16" t="n"/>
      <c r="H5" s="23" t="inlineStr">
        <is>
          <t>CAN-PKX-AMS</t>
        </is>
      </c>
      <c r="I5" s="18" t="n">
        <v>1000</v>
      </c>
      <c r="J5" s="18" t="n">
        <v>5</v>
      </c>
      <c r="K5" s="32" t="inlineStr">
        <is>
          <t>1:200</t>
        </is>
      </c>
      <c r="L5" s="20" t="inlineStr">
        <is>
          <t>35含tc</t>
        </is>
      </c>
      <c r="M5" s="21" t="inlineStr">
        <is>
          <t>含TC</t>
        </is>
      </c>
      <c r="N5" s="10" t="n">
        <v>66</v>
      </c>
      <c r="O5" s="10" t="n">
        <v>1055</v>
      </c>
      <c r="P5" s="34" t="n">
        <v>4.92</v>
      </c>
      <c r="Q5" s="10" t="n"/>
      <c r="R5" s="10" t="n"/>
      <c r="S5" s="23" t="n"/>
      <c r="T5" s="23" t="n"/>
      <c r="U5" s="23" t="n"/>
      <c r="V5" s="23" t="inlineStr">
        <is>
          <t>BV显示齐</t>
        </is>
      </c>
      <c r="W5" s="14" t="inlineStr">
        <is>
          <t>BBV</t>
        </is>
      </c>
      <c r="X5" s="23" t="n"/>
      <c r="Y5" s="10">
        <f>1055*34.5+110</f>
        <v/>
      </c>
      <c r="Z5" s="23" t="inlineStr">
        <is>
          <t>月结，未付</t>
        </is>
      </c>
      <c r="AA5" s="23" t="n"/>
    </row>
    <row r="6" ht="25.5" customHeight="1" s="33">
      <c r="A6" s="10" t="inlineStr">
        <is>
          <t>WZ</t>
        </is>
      </c>
      <c r="B6" s="11" t="inlineStr">
        <is>
          <t>QR8941/02</t>
        </is>
      </c>
      <c r="C6" s="12" t="inlineStr">
        <is>
          <t>157-40742170</t>
        </is>
      </c>
      <c r="D6" s="26" t="n"/>
      <c r="E6" s="29" t="inlineStr">
        <is>
          <t>BBV</t>
        </is>
      </c>
      <c r="F6" s="15" t="inlineStr">
        <is>
          <t>林</t>
        </is>
      </c>
      <c r="G6" s="30" t="inlineStr">
        <is>
          <t>3150/16.84</t>
        </is>
      </c>
      <c r="H6" s="23" t="inlineStr">
        <is>
          <t>1063/5.99</t>
        </is>
      </c>
      <c r="I6" s="31" t="n">
        <v>2750</v>
      </c>
      <c r="J6" s="31" t="n">
        <v>16.5</v>
      </c>
      <c r="K6" s="32" t="inlineStr">
        <is>
          <t>1:167</t>
        </is>
      </c>
      <c r="L6" s="20" t="inlineStr">
        <is>
          <t>38.6-0.5=38.1</t>
        </is>
      </c>
      <c r="M6" s="21" t="inlineStr">
        <is>
          <t>含TC</t>
        </is>
      </c>
      <c r="N6" s="10" t="n">
        <v>71</v>
      </c>
      <c r="O6" s="10" t="n">
        <v>1066</v>
      </c>
      <c r="P6" s="34" t="n">
        <v>6.12</v>
      </c>
      <c r="Q6" s="10" t="n"/>
      <c r="R6" s="10" t="n"/>
      <c r="S6" s="23" t="n"/>
      <c r="T6" s="23" t="n"/>
      <c r="U6" s="23" t="n"/>
      <c r="V6" s="23" t="inlineStr">
        <is>
          <t>BV显示齐</t>
        </is>
      </c>
      <c r="W6" s="29" t="inlineStr">
        <is>
          <t>BBV</t>
        </is>
      </c>
      <c r="X6" s="23" t="n"/>
      <c r="Y6" s="10">
        <f>1066*37.6+22+88</f>
        <v/>
      </c>
      <c r="Z6" s="23" t="inlineStr">
        <is>
          <t>4/20 民生30万,4/25 民生30万，5/4 民生30万,5/8 民生30万,5/12 民生30万，5/13 民生180926.20</t>
        </is>
      </c>
      <c r="AA6" s="23" t="n"/>
    </row>
    <row r="7" ht="25.5" customHeight="1" s="33">
      <c r="A7" s="10" t="inlineStr">
        <is>
          <t>WZ</t>
        </is>
      </c>
      <c r="B7" s="11" t="inlineStr">
        <is>
          <t>QR8941/02</t>
        </is>
      </c>
      <c r="C7" s="12" t="inlineStr">
        <is>
          <t>157-40742181</t>
        </is>
      </c>
      <c r="D7" s="26" t="n"/>
      <c r="E7" s="35" t="n"/>
      <c r="F7" s="15" t="inlineStr">
        <is>
          <t>林</t>
        </is>
      </c>
      <c r="G7" s="35" t="n"/>
      <c r="H7" s="23" t="inlineStr">
        <is>
          <t>1070/5.98</t>
        </is>
      </c>
      <c r="I7" s="35" t="n"/>
      <c r="J7" s="35" t="n"/>
      <c r="K7" s="32" t="inlineStr">
        <is>
          <t>1:167</t>
        </is>
      </c>
      <c r="L7" s="20" t="inlineStr">
        <is>
          <t>38.6-0.5=38.1</t>
        </is>
      </c>
      <c r="M7" s="21" t="inlineStr">
        <is>
          <t>含TC</t>
        </is>
      </c>
      <c r="N7" s="10" t="n">
        <v>70</v>
      </c>
      <c r="O7" s="10" t="n">
        <v>1079</v>
      </c>
      <c r="P7" s="34" t="n">
        <v>6.04</v>
      </c>
      <c r="Q7" s="10" t="n"/>
      <c r="R7" s="10" t="n"/>
      <c r="S7" s="23" t="n"/>
      <c r="T7" s="23" t="n"/>
      <c r="U7" s="23" t="n"/>
      <c r="V7" s="23" t="inlineStr">
        <is>
          <t>BV显示齐</t>
        </is>
      </c>
      <c r="W7" s="35" t="n"/>
      <c r="X7" s="23" t="n"/>
      <c r="Y7" s="10">
        <f>1079*37.6+22+88</f>
        <v/>
      </c>
      <c r="Z7" s="23" t="inlineStr">
        <is>
          <t>4/20 民生30万,4/25 民生30万，5/4 民生30万,5/8 民生30万,5/12 民生30万，5/13 民生180926.20</t>
        </is>
      </c>
      <c r="AA7" s="23" t="n"/>
    </row>
    <row r="8" ht="25.5" customHeight="1" s="33">
      <c r="A8" s="10" t="inlineStr">
        <is>
          <t>WZ</t>
        </is>
      </c>
      <c r="B8" s="11" t="inlineStr">
        <is>
          <t>QR8941/02</t>
        </is>
      </c>
      <c r="C8" s="12" t="inlineStr">
        <is>
          <t>157-40742192</t>
        </is>
      </c>
      <c r="D8" s="26" t="n"/>
      <c r="E8" s="36" t="n"/>
      <c r="F8" s="28" t="inlineStr">
        <is>
          <t>胡</t>
        </is>
      </c>
      <c r="G8" s="36" t="n"/>
      <c r="H8" s="23" t="inlineStr">
        <is>
          <t>1017/4.87</t>
        </is>
      </c>
      <c r="I8" s="36" t="n"/>
      <c r="J8" s="36" t="n"/>
      <c r="K8" s="32" t="inlineStr">
        <is>
          <t>1:167</t>
        </is>
      </c>
      <c r="L8" s="20" t="inlineStr">
        <is>
          <t>38.6-0.5=38.1</t>
        </is>
      </c>
      <c r="M8" s="21" t="inlineStr">
        <is>
          <t>含TC</t>
        </is>
      </c>
      <c r="N8" s="10" t="n">
        <v>67</v>
      </c>
      <c r="O8" s="10" t="n">
        <v>1021</v>
      </c>
      <c r="P8" s="34" t="n">
        <v>4.66</v>
      </c>
      <c r="Q8" s="10" t="n"/>
      <c r="R8" s="10" t="n"/>
      <c r="S8" s="23" t="n"/>
      <c r="T8" s="23" t="n"/>
      <c r="U8" s="23" t="n"/>
      <c r="V8" s="23" t="inlineStr">
        <is>
          <t>BV显示齐</t>
        </is>
      </c>
      <c r="W8" s="36" t="n"/>
      <c r="X8" s="23" t="n"/>
      <c r="Y8" s="10">
        <f>1021*37.6+22+88</f>
        <v/>
      </c>
      <c r="Z8" s="23" t="inlineStr">
        <is>
          <t>4/20 民生30万,4/25 民生30万，5/4 民生30万,5/8 民生30万,5/12 民生30万，5/13 民生180926.20</t>
        </is>
      </c>
      <c r="AA8" s="23" t="n"/>
    </row>
  </sheetData>
  <mergeCells count="6">
    <mergeCell ref="I6:I8"/>
    <mergeCell ref="G6:G8"/>
    <mergeCell ref="N1:P1"/>
    <mergeCell ref="J6:J8"/>
    <mergeCell ref="E6:E8"/>
    <mergeCell ref="W6:W8"/>
  </mergeCells>
  <conditionalFormatting sqref="A1:P1">
    <cfRule type="duplicateValues" priority="3" dxfId="0"/>
  </conditionalFormatting>
  <conditionalFormatting sqref="W1">
    <cfRule type="duplicateValues" priority="1" dxfId="0"/>
  </conditionalFormatting>
  <conditionalFormatting sqref="U1:V1 X1:Z1">
    <cfRule type="duplicateValues" priority="2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2026-05-25T08:22:00Z</dcterms:created>
  <dcterms:modified xmlns:dcterms="http://purl.org/dc/terms/" xmlns:xsi="http://www.w3.org/2001/XMLSchema-instance" xsi:type="dcterms:W3CDTF">2026-07-06T09:16:59Z</dcterms:modified>
  <cp:lastModifiedBy>宇宙无敌大魔王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43220C138F074B5E8C8191A61C879ADA_13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